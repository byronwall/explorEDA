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" sheetId="1" r:id="rId1"/>
    <sheet name="Orders" sheetId="2" r:id="rId2"/>
    <sheet name="Returns" sheetId="3" r:id="rId3"/>
    <sheet name="Lookup" sheetId="4" state="hidden" r:id="rId4"/>
  </sheets>
  <calcPr calcId="124519" fullCalcOnLoad="1"/>
</workbook>
</file>

<file path=xl/sharedStrings.xml><?xml version="1.0" encoding="utf-8"?>
<sst xmlns="http://schemas.openxmlformats.org/spreadsheetml/2006/main" count="120" uniqueCount="66">
  <si>
    <t>Quarterly orders</t>
  </si>
  <si>
    <t>Prepared by finance</t>
  </si>
  <si>
    <t>Orders export, Q3</t>
  </si>
  <si>
    <t>Source: shop</t>
  </si>
  <si>
    <t>order_id</t>
  </si>
  <si>
    <t>customer</t>
  </si>
  <si>
    <t>qty</t>
  </si>
  <si>
    <t>unit_price</t>
  </si>
  <si>
    <t>total</t>
  </si>
  <si>
    <t>ordered</t>
  </si>
  <si>
    <t>shipped_at</t>
  </si>
  <si>
    <t>rush</t>
  </si>
  <si>
    <t>ratio</t>
  </si>
  <si>
    <t>00001</t>
  </si>
  <si>
    <t>Grace</t>
  </si>
  <si>
    <t>00002</t>
  </si>
  <si>
    <t>Linus</t>
  </si>
  <si>
    <t>00003</t>
  </si>
  <si>
    <t>Zoë</t>
  </si>
  <si>
    <t>00004</t>
  </si>
  <si>
    <t>Ada</t>
  </si>
  <si>
    <t>00005</t>
  </si>
  <si>
    <t>00006</t>
  </si>
  <si>
    <t>00007</t>
  </si>
  <si>
    <t>00008</t>
  </si>
  <si>
    <t>00009</t>
  </si>
  <si>
    <t>00010</t>
  </si>
  <si>
    <t>00011</t>
  </si>
  <si>
    <t>00012</t>
  </si>
  <si>
    <t>00013</t>
  </si>
  <si>
    <t>00014</t>
  </si>
  <si>
    <t>00015</t>
  </si>
  <si>
    <t>00016</t>
  </si>
  <si>
    <t>00017</t>
  </si>
  <si>
    <t>00018</t>
  </si>
  <si>
    <t>00019</t>
  </si>
  <si>
    <t>00020</t>
  </si>
  <si>
    <t>00021</t>
  </si>
  <si>
    <t>00022</t>
  </si>
  <si>
    <t>00023</t>
  </si>
  <si>
    <t>00024</t>
  </si>
  <si>
    <t>00025</t>
  </si>
  <si>
    <t>00026</t>
  </si>
  <si>
    <t>00027</t>
  </si>
  <si>
    <t>00028</t>
  </si>
  <si>
    <t>00029</t>
  </si>
  <si>
    <t>00030</t>
  </si>
  <si>
    <t>00031</t>
  </si>
  <si>
    <t>00032</t>
  </si>
  <si>
    <t>00033</t>
  </si>
  <si>
    <t>00034</t>
  </si>
  <si>
    <t>00035</t>
  </si>
  <si>
    <t>00036</t>
  </si>
  <si>
    <t>00037</t>
  </si>
  <si>
    <t>00038</t>
  </si>
  <si>
    <t>00039</t>
  </si>
  <si>
    <t>00040</t>
  </si>
  <si>
    <t>reason</t>
  </si>
  <si>
    <t>refund</t>
  </si>
  <si>
    <t>late</t>
  </si>
  <si>
    <t>wrong size</t>
  </si>
  <si>
    <t>damaged</t>
  </si>
  <si>
    <t>code</t>
  </si>
  <si>
    <t>label</t>
  </si>
  <si>
    <t>A</t>
  </si>
  <si>
    <t>Alpha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</si>
</sst>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4"/>
  <sheetViews>
    <sheetView workbookViewId="0"/>
  </sheetViews>
  <sheetFormatPr defaultRowHeight="15"/>
  <sheetData>
    <row r="1" spans="1:9">
      <c r="A1" t="s">
        <v>2</v>
      </c>
    </row>
    <row r="2" spans="1:9">
      <c r="A2" t="s">
        <v>3</v>
      </c>
    </row>
    <row r="4" spans="1:9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</row>
    <row r="5" spans="1:9">
      <c r="A5" t="s">
        <v>13</v>
      </c>
      <c r="B5" t="s">
        <v>14</v>
      </c>
      <c r="C5">
        <v>2</v>
      </c>
      <c r="D5">
        <v>2.75</v>
      </c>
      <c r="E5">
        <f>C5*D5</f>
        <v>5.5</v>
      </c>
      <c r="F5" s="1">
        <v>45840</v>
      </c>
      <c r="G5" s="2">
        <v>45871.4375</v>
      </c>
      <c r="H5" t="b">
        <v>0</v>
      </c>
      <c r="I5">
        <f>C5/D5</f>
        <v>0.7272727272727273</v>
      </c>
    </row>
    <row r="6" spans="1:9">
      <c r="A6" t="s">
        <v>15</v>
      </c>
      <c r="B6" t="s">
        <v>16</v>
      </c>
      <c r="C6">
        <v>3</v>
      </c>
      <c r="D6">
        <v>3</v>
      </c>
      <c r="E6">
        <f>C6*D6</f>
        <v>9.0</v>
      </c>
      <c r="F6" s="1">
        <v>45841</v>
      </c>
      <c r="G6" s="2">
        <v>45872.47916666666</v>
      </c>
      <c r="H6" t="b">
        <v>0</v>
      </c>
      <c r="I6">
        <f>C6/D6</f>
        <v>1.0</v>
      </c>
    </row>
    <row r="7" spans="1:9">
      <c r="A7" t="s">
        <v>17</v>
      </c>
      <c r="B7" t="s">
        <v>18</v>
      </c>
      <c r="C7">
        <v>4</v>
      </c>
      <c r="D7">
        <v>3.25</v>
      </c>
      <c r="E7">
        <f>C7*D7</f>
        <v>13.0</v>
      </c>
      <c r="F7" s="1">
        <v>45842</v>
      </c>
      <c r="G7" s="2">
        <v>45873.52083333334</v>
      </c>
      <c r="H7" t="b">
        <v>1</v>
      </c>
      <c r="I7">
        <f>C7/D7</f>
        <v>1.2307692307692308</v>
      </c>
    </row>
    <row r="8" spans="1:9">
      <c r="A8" t="s">
        <v>19</v>
      </c>
      <c r="B8" t="s">
        <v>20</v>
      </c>
      <c r="C8">
        <v>5</v>
      </c>
      <c r="D8">
        <v>3.5</v>
      </c>
      <c r="E8">
        <f>C8*D8</f>
        <v>17.5</v>
      </c>
      <c r="F8" s="1">
        <v>45843</v>
      </c>
      <c r="G8" s="2">
        <v>45874.5625</v>
      </c>
      <c r="H8" t="b">
        <v>0</v>
      </c>
      <c r="I8">
        <f>C8/D8</f>
        <v>1.4285714285714286</v>
      </c>
    </row>
    <row r="9" spans="1:9">
      <c r="A9" t="s">
        <v>21</v>
      </c>
      <c r="B9" t="s">
        <v>14</v>
      </c>
      <c r="C9">
        <v>6</v>
      </c>
      <c r="D9">
        <v>3.75</v>
      </c>
      <c r="E9">
        <f>C9*D9</f>
        <v>22.5</v>
      </c>
      <c r="F9" s="1">
        <v>45844</v>
      </c>
      <c r="H9" t="b">
        <v>0</v>
      </c>
      <c r="I9">
        <f>C9/D9</f>
        <v>1.6</v>
      </c>
    </row>
    <row r="10" spans="1:9">
      <c r="A10" t="s">
        <v>22</v>
      </c>
      <c r="B10" t="s">
        <v>16</v>
      </c>
      <c r="C10">
        <v>7</v>
      </c>
      <c r="D10">
        <v>4</v>
      </c>
      <c r="E10">
        <f>C10*D10</f>
        <v>28.0</v>
      </c>
      <c r="F10" s="1">
        <v>45845</v>
      </c>
      <c r="G10" s="2">
        <v>45876.64583333334</v>
      </c>
      <c r="H10" t="b">
        <v>1</v>
      </c>
      <c r="I10">
        <f>C10/D10</f>
        <v>1.75</v>
      </c>
    </row>
    <row r="11" spans="1:9">
      <c r="A11" t="s">
        <v>23</v>
      </c>
      <c r="B11" t="s">
        <v>18</v>
      </c>
      <c r="C11">
        <v>1</v>
      </c>
      <c r="D11">
        <v>4.25</v>
      </c>
      <c r="E11">
        <f>C11*D11</f>
        <v>4.25</v>
      </c>
      <c r="F11" s="1">
        <v>45846</v>
      </c>
      <c r="G11" s="2">
        <v>45877.6875</v>
      </c>
      <c r="H11" t="b">
        <v>0</v>
      </c>
      <c r="I11" t="e">
        <f>C11/0</f>
        <v>#DIV/0!</v>
      </c>
    </row>
    <row r="12" spans="1:9">
      <c r="A12" t="s">
        <v>24</v>
      </c>
      <c r="B12" t="s">
        <v>20</v>
      </c>
      <c r="C12">
        <v>2</v>
      </c>
      <c r="D12">
        <v>4.5</v>
      </c>
      <c r="E12">
        <f>C12*D12</f>
        <v>9.0</v>
      </c>
      <c r="F12" s="1">
        <v>45847</v>
      </c>
      <c r="G12" s="2">
        <v>45878.39583333334</v>
      </c>
      <c r="H12" t="b">
        <v>0</v>
      </c>
      <c r="I12">
        <f>C12/D12</f>
        <v>0.4444444444444444</v>
      </c>
    </row>
    <row r="13" spans="1:9">
      <c r="A13" t="s">
        <v>25</v>
      </c>
      <c r="B13" t="s">
        <v>14</v>
      </c>
      <c r="C13">
        <v>3</v>
      </c>
      <c r="D13">
        <v>4.75</v>
      </c>
      <c r="E13">
        <f>C13*D13</f>
        <v>14.25</v>
      </c>
      <c r="F13" s="1">
        <v>45848</v>
      </c>
      <c r="G13" s="2">
        <v>45879.4375</v>
      </c>
      <c r="H13" t="b">
        <v>1</v>
      </c>
      <c r="I13">
        <f>C13/D13</f>
        <v>0.631578947368421</v>
      </c>
    </row>
    <row r="14" spans="1:9">
      <c r="A14" t="s">
        <v>26</v>
      </c>
      <c r="B14" t="s">
        <v>16</v>
      </c>
      <c r="C14">
        <v>4</v>
      </c>
      <c r="D14">
        <v>5</v>
      </c>
      <c r="E14">
        <f>C14*D14</f>
        <v>20.0</v>
      </c>
      <c r="F14" s="1">
        <v>45849</v>
      </c>
      <c r="H14" t="b">
        <v>0</v>
      </c>
      <c r="I14">
        <f>C14/D14</f>
        <v>0.8</v>
      </c>
    </row>
    <row r="15" spans="1:9">
      <c r="A15" t="s">
        <v>27</v>
      </c>
      <c r="B15" t="s">
        <v>18</v>
      </c>
      <c r="C15">
        <v>5</v>
      </c>
      <c r="D15">
        <v>5.25</v>
      </c>
      <c r="E15">
        <f>C15*D15</f>
        <v>26.25</v>
      </c>
      <c r="F15" s="1">
        <v>45850</v>
      </c>
      <c r="G15" s="2">
        <v>45881.52083333334</v>
      </c>
      <c r="H15" t="b">
        <v>0</v>
      </c>
      <c r="I15">
        <f>C15/D15</f>
        <v>0.9523809523809523</v>
      </c>
    </row>
    <row r="16" spans="1:9">
      <c r="A16" t="s">
        <v>28</v>
      </c>
      <c r="B16" t="s">
        <v>20</v>
      </c>
      <c r="C16">
        <v>6</v>
      </c>
      <c r="D16">
        <v>5.5</v>
      </c>
      <c r="E16">
        <f>C16*D16</f>
        <v>33.0</v>
      </c>
      <c r="F16" s="1">
        <v>45851</v>
      </c>
      <c r="G16" s="2">
        <v>45882.5625</v>
      </c>
      <c r="H16" t="b">
        <v>1</v>
      </c>
      <c r="I16">
        <f>C16/D16</f>
        <v>1.0909090909090908</v>
      </c>
    </row>
    <row r="17" spans="1:9">
      <c r="A17" t="s">
        <v>29</v>
      </c>
      <c r="B17" t="s">
        <v>14</v>
      </c>
      <c r="C17">
        <v>7</v>
      </c>
      <c r="D17">
        <v>5.75</v>
      </c>
      <c r="E17">
        <f>C17*D17</f>
        <v>40.25</v>
      </c>
      <c r="F17" s="1">
        <v>45852</v>
      </c>
      <c r="G17" s="2">
        <v>45883.60416666666</v>
      </c>
      <c r="H17" t="b">
        <v>0</v>
      </c>
      <c r="I17">
        <f>C17/D17</f>
        <v>1.2173913043478262</v>
      </c>
    </row>
    <row r="18" spans="1:9">
      <c r="A18" t="s">
        <v>30</v>
      </c>
      <c r="B18" t="s">
        <v>16</v>
      </c>
      <c r="C18">
        <v>1</v>
      </c>
      <c r="D18">
        <v>6</v>
      </c>
      <c r="E18">
        <f>C18*D18</f>
        <v>6.0</v>
      </c>
      <c r="F18" s="1">
        <v>45853</v>
      </c>
      <c r="G18" s="2">
        <v>45884.64583333334</v>
      </c>
      <c r="H18" t="b">
        <v>0</v>
      </c>
      <c r="I18">
        <f>C18/D18</f>
        <v>0.16666666666666666</v>
      </c>
    </row>
    <row r="19" spans="1:9">
      <c r="A19" t="s">
        <v>31</v>
      </c>
      <c r="B19" t="s">
        <v>18</v>
      </c>
      <c r="C19">
        <v>2</v>
      </c>
      <c r="D19">
        <v>6.25</v>
      </c>
      <c r="E19">
        <f>C19*D19</f>
        <v>12.5</v>
      </c>
      <c r="F19" s="1">
        <v>45854</v>
      </c>
      <c r="H19" t="b">
        <v>1</v>
      </c>
      <c r="I19">
        <f>C19/D19</f>
        <v>0.32</v>
      </c>
    </row>
    <row r="20" spans="1:9">
      <c r="A20" t="s">
        <v>32</v>
      </c>
      <c r="B20" t="s">
        <v>20</v>
      </c>
      <c r="C20">
        <v>3</v>
      </c>
      <c r="D20">
        <v>6.5</v>
      </c>
      <c r="E20">
        <f>C20*D20</f>
        <v>19.5</v>
      </c>
      <c r="F20" s="1">
        <v>45855</v>
      </c>
      <c r="G20" s="2">
        <v>45886.39583333334</v>
      </c>
      <c r="H20" t="b">
        <v>0</v>
      </c>
      <c r="I20">
        <f>C20/D20</f>
        <v>0.46153846153846156</v>
      </c>
    </row>
    <row r="21" spans="1:9">
      <c r="A21" t="s">
        <v>33</v>
      </c>
      <c r="B21" t="s">
        <v>14</v>
      </c>
      <c r="C21">
        <v>4</v>
      </c>
      <c r="D21">
        <v>6.75</v>
      </c>
      <c r="E21">
        <f>C21*D21</f>
        <v>27.0</v>
      </c>
      <c r="F21" s="1">
        <v>45856</v>
      </c>
      <c r="G21" s="2">
        <v>45887.4375</v>
      </c>
      <c r="H21" t="b">
        <v>0</v>
      </c>
      <c r="I21">
        <f>C21/D21</f>
        <v>0.5925925925925926</v>
      </c>
    </row>
    <row r="22" spans="1:9">
      <c r="A22" t="s">
        <v>34</v>
      </c>
      <c r="B22" t="s">
        <v>16</v>
      </c>
      <c r="C22">
        <v>5</v>
      </c>
      <c r="D22">
        <v>7</v>
      </c>
      <c r="E22">
        <f>C22*D22</f>
        <v>35.0</v>
      </c>
      <c r="F22" s="1">
        <v>45857</v>
      </c>
      <c r="G22" s="2">
        <v>45888.47916666666</v>
      </c>
      <c r="H22" t="b">
        <v>1</v>
      </c>
      <c r="I22">
        <f>C22/D22</f>
        <v>0.7142857142857143</v>
      </c>
    </row>
    <row r="23" spans="1:9">
      <c r="A23" t="s">
        <v>35</v>
      </c>
      <c r="B23" t="s">
        <v>18</v>
      </c>
      <c r="C23">
        <v>6</v>
      </c>
      <c r="D23">
        <v>7.25</v>
      </c>
      <c r="E23">
        <f>C23*D23</f>
        <v>43.5</v>
      </c>
      <c r="F23" s="1">
        <v>45858</v>
      </c>
      <c r="G23" s="2">
        <v>45889.52083333334</v>
      </c>
      <c r="H23" t="b">
        <v>0</v>
      </c>
      <c r="I23">
        <f>C23/D23</f>
        <v>0.8275862068965517</v>
      </c>
    </row>
    <row r="24" spans="1:9">
      <c r="A24" t="s">
        <v>36</v>
      </c>
      <c r="B24" t="s">
        <v>20</v>
      </c>
      <c r="C24">
        <v>7</v>
      </c>
      <c r="D24">
        <v>7.5</v>
      </c>
      <c r="E24">
        <f>C24*D24</f>
        <v>52.5</v>
      </c>
      <c r="F24" s="1">
        <v>45859</v>
      </c>
      <c r="H24" t="b">
        <v>0</v>
      </c>
      <c r="I24">
        <f>C24/D24</f>
        <v>0.9333333333333333</v>
      </c>
    </row>
    <row r="25" spans="1:9">
      <c r="A25" t="s">
        <v>37</v>
      </c>
      <c r="B25" t="s">
        <v>14</v>
      </c>
      <c r="C25">
        <v>1</v>
      </c>
      <c r="D25">
        <v>7.75</v>
      </c>
      <c r="E25">
        <f>C25*D25</f>
        <v>7.75</v>
      </c>
      <c r="F25" s="1">
        <v>45860</v>
      </c>
      <c r="G25" s="2">
        <v>45891.60416666666</v>
      </c>
      <c r="H25" t="b">
        <v>1</v>
      </c>
      <c r="I25">
        <f>C25/D25</f>
        <v>0.12903225806451613</v>
      </c>
    </row>
    <row r="26" spans="1:9">
      <c r="A26" t="s">
        <v>38</v>
      </c>
      <c r="B26" t="s">
        <v>16</v>
      </c>
      <c r="C26">
        <v>2</v>
      </c>
      <c r="D26">
        <v>8</v>
      </c>
      <c r="E26">
        <f>C26*D26</f>
        <v>16.0</v>
      </c>
      <c r="F26" s="1">
        <v>45861</v>
      </c>
      <c r="G26" s="2">
        <v>45892.64583333334</v>
      </c>
      <c r="H26" t="b">
        <v>0</v>
      </c>
      <c r="I26">
        <f>C26/D26</f>
        <v>0.25</v>
      </c>
    </row>
    <row r="27" spans="1:9">
      <c r="A27" t="s">
        <v>39</v>
      </c>
      <c r="B27" t="s">
        <v>18</v>
      </c>
      <c r="C27">
        <v>3</v>
      </c>
      <c r="D27">
        <v>8.25</v>
      </c>
      <c r="E27">
        <f>C27*D27</f>
        <v>24.75</v>
      </c>
      <c r="F27" s="1">
        <v>45862</v>
      </c>
      <c r="G27" s="2">
        <v>45893.6875</v>
      </c>
      <c r="H27" t="b">
        <v>0</v>
      </c>
      <c r="I27">
        <f>C27/D27</f>
        <v>0.36363636363636365</v>
      </c>
    </row>
    <row r="28" spans="1:9">
      <c r="A28" t="s">
        <v>40</v>
      </c>
      <c r="B28" t="s">
        <v>20</v>
      </c>
      <c r="C28">
        <v>4</v>
      </c>
      <c r="D28">
        <v>8.5</v>
      </c>
      <c r="E28">
        <f>C28*D28</f>
        <v>34.0</v>
      </c>
      <c r="F28" s="1">
        <v>45863</v>
      </c>
      <c r="G28" s="2">
        <v>45894.39583333334</v>
      </c>
      <c r="H28" t="b">
        <v>1</v>
      </c>
      <c r="I28">
        <f>C28/D28</f>
        <v>0.47058823529411764</v>
      </c>
    </row>
    <row r="29" spans="1:9">
      <c r="A29" t="s">
        <v>41</v>
      </c>
      <c r="B29" t="s">
        <v>14</v>
      </c>
      <c r="C29">
        <v>5</v>
      </c>
      <c r="D29">
        <v>8.75</v>
      </c>
      <c r="E29">
        <f>C29*D29</f>
        <v>43.75</v>
      </c>
      <c r="F29" s="1">
        <v>45864</v>
      </c>
      <c r="H29" t="b">
        <v>0</v>
      </c>
      <c r="I29">
        <f>C29/D29</f>
        <v>0.5714285714285714</v>
      </c>
    </row>
    <row r="30" spans="1:9">
      <c r="A30" t="s">
        <v>42</v>
      </c>
      <c r="B30" t="s">
        <v>16</v>
      </c>
      <c r="C30">
        <v>6</v>
      </c>
      <c r="D30">
        <v>9</v>
      </c>
      <c r="E30">
        <f>C30*D30</f>
        <v>54.0</v>
      </c>
      <c r="F30" s="1">
        <v>45865</v>
      </c>
      <c r="G30" s="2">
        <v>45896.47916666666</v>
      </c>
      <c r="H30" t="b">
        <v>0</v>
      </c>
      <c r="I30">
        <f>C30/D30</f>
        <v>0.6666666666666666</v>
      </c>
    </row>
    <row r="31" spans="1:9">
      <c r="A31" t="s">
        <v>43</v>
      </c>
      <c r="B31" t="s">
        <v>18</v>
      </c>
      <c r="C31">
        <v>7</v>
      </c>
      <c r="D31">
        <v>9.25</v>
      </c>
      <c r="E31">
        <f>C31*D31</f>
        <v>64.75</v>
      </c>
      <c r="F31" s="1">
        <v>45866</v>
      </c>
      <c r="G31" s="2">
        <v>45897.52083333334</v>
      </c>
      <c r="H31" t="b">
        <v>1</v>
      </c>
      <c r="I31">
        <f>C31/D31</f>
        <v>0.7567567567567568</v>
      </c>
    </row>
    <row r="32" spans="1:9">
      <c r="A32" t="s">
        <v>44</v>
      </c>
      <c r="B32" t="s">
        <v>20</v>
      </c>
      <c r="C32">
        <v>1</v>
      </c>
      <c r="D32">
        <v>9.5</v>
      </c>
      <c r="E32">
        <f>C32*D32</f>
        <v>9.5</v>
      </c>
      <c r="F32" s="1">
        <v>45839</v>
      </c>
      <c r="G32" s="2">
        <v>45870.5625</v>
      </c>
      <c r="H32" t="b">
        <v>0</v>
      </c>
      <c r="I32">
        <f>C32/D32</f>
        <v>0.10526315789473684</v>
      </c>
    </row>
    <row r="33" spans="1:9">
      <c r="A33" t="s">
        <v>45</v>
      </c>
      <c r="B33" t="s">
        <v>14</v>
      </c>
      <c r="C33">
        <v>2</v>
      </c>
      <c r="D33">
        <v>9.75</v>
      </c>
      <c r="E33">
        <f>C33*D33</f>
        <v>19.5</v>
      </c>
      <c r="F33" s="1">
        <v>45840</v>
      </c>
      <c r="G33" s="2">
        <v>45871.60416666666</v>
      </c>
      <c r="H33" t="b">
        <v>0</v>
      </c>
      <c r="I33">
        <f>C33/D33</f>
        <v>0.20512820512820512</v>
      </c>
    </row>
    <row r="34" spans="1:9">
      <c r="A34" t="s">
        <v>46</v>
      </c>
      <c r="B34" t="s">
        <v>16</v>
      </c>
      <c r="C34">
        <v>3</v>
      </c>
      <c r="D34">
        <v>10</v>
      </c>
      <c r="E34">
        <f>C34*D34</f>
        <v>30.0</v>
      </c>
      <c r="F34" s="1">
        <v>45841</v>
      </c>
      <c r="H34" t="b">
        <v>1</v>
      </c>
      <c r="I34">
        <f>C34/D34</f>
        <v>0.3</v>
      </c>
    </row>
    <row r="35" spans="1:9">
      <c r="A35" t="s">
        <v>47</v>
      </c>
      <c r="B35" t="s">
        <v>18</v>
      </c>
      <c r="C35">
        <v>4</v>
      </c>
      <c r="D35">
        <v>10.25</v>
      </c>
      <c r="E35">
        <f>C35*D35</f>
        <v>41.0</v>
      </c>
      <c r="F35" s="1">
        <v>45842</v>
      </c>
      <c r="G35" s="2">
        <v>45873.6875</v>
      </c>
      <c r="H35" t="b">
        <v>0</v>
      </c>
      <c r="I35">
        <f>C35/D35</f>
        <v>0.3902439024390244</v>
      </c>
    </row>
    <row r="36" spans="1:9">
      <c r="A36" t="s">
        <v>48</v>
      </c>
      <c r="B36" t="s">
        <v>20</v>
      </c>
      <c r="C36">
        <v>5</v>
      </c>
      <c r="D36">
        <v>10.5</v>
      </c>
      <c r="E36">
        <f>C36*D36</f>
        <v>52.5</v>
      </c>
      <c r="F36" s="1">
        <v>45843</v>
      </c>
      <c r="G36" s="2">
        <v>45874.39583333334</v>
      </c>
      <c r="H36" t="b">
        <v>0</v>
      </c>
      <c r="I36">
        <f>C36/D36</f>
        <v>0.47619047619047616</v>
      </c>
    </row>
    <row r="37" spans="1:9">
      <c r="A37" t="s">
        <v>49</v>
      </c>
      <c r="B37" t="s">
        <v>14</v>
      </c>
      <c r="C37">
        <v>6</v>
      </c>
      <c r="D37">
        <v>10.75</v>
      </c>
      <c r="E37">
        <f>C37*D37</f>
        <v>64.5</v>
      </c>
      <c r="F37" s="1">
        <v>45844</v>
      </c>
      <c r="G37" s="2">
        <v>45875.4375</v>
      </c>
      <c r="H37" t="b">
        <v>1</v>
      </c>
      <c r="I37">
        <f>C37/D37</f>
        <v>0.5581395348837209</v>
      </c>
    </row>
    <row r="38" spans="1:9">
      <c r="A38" t="s">
        <v>50</v>
      </c>
      <c r="B38" t="s">
        <v>16</v>
      </c>
      <c r="C38">
        <v>7</v>
      </c>
      <c r="D38">
        <v>11</v>
      </c>
      <c r="E38">
        <f>C38*D38</f>
        <v>77.0</v>
      </c>
      <c r="F38" s="1">
        <v>45845</v>
      </c>
      <c r="G38" s="2">
        <v>45876.47916666666</v>
      </c>
      <c r="H38" t="b">
        <v>0</v>
      </c>
      <c r="I38">
        <f>C38/D38</f>
        <v>0.6363636363636364</v>
      </c>
    </row>
    <row r="39" spans="1:9">
      <c r="A39" t="s">
        <v>51</v>
      </c>
      <c r="B39" t="s">
        <v>18</v>
      </c>
      <c r="C39">
        <v>1</v>
      </c>
      <c r="D39">
        <v>11.25</v>
      </c>
      <c r="E39">
        <f>C39*D39</f>
        <v>11.25</v>
      </c>
      <c r="F39" s="1">
        <v>45846</v>
      </c>
      <c r="H39" t="b">
        <v>0</v>
      </c>
      <c r="I39">
        <f>C39/D39</f>
        <v>0.08888888888888889</v>
      </c>
    </row>
    <row r="40" spans="1:9">
      <c r="A40" t="s">
        <v>52</v>
      </c>
      <c r="B40" t="s">
        <v>20</v>
      </c>
      <c r="C40">
        <v>2</v>
      </c>
      <c r="D40">
        <v>11.5</v>
      </c>
      <c r="E40">
        <f>C40*D40</f>
        <v>23.0</v>
      </c>
      <c r="F40" s="1">
        <v>45847</v>
      </c>
      <c r="G40" s="2">
        <v>45878.5625</v>
      </c>
      <c r="H40" t="b">
        <v>1</v>
      </c>
      <c r="I40">
        <f>C40/D40</f>
        <v>0.17391304347826086</v>
      </c>
    </row>
    <row r="41" spans="1:9">
      <c r="A41" t="s">
        <v>53</v>
      </c>
      <c r="B41" t="s">
        <v>14</v>
      </c>
      <c r="C41">
        <v>3</v>
      </c>
      <c r="D41">
        <v>11.75</v>
      </c>
      <c r="E41">
        <f>C41*D41</f>
        <v>35.25</v>
      </c>
      <c r="F41" s="1">
        <v>45848</v>
      </c>
      <c r="G41" s="2">
        <v>45879.60416666666</v>
      </c>
      <c r="H41" t="b">
        <v>0</v>
      </c>
      <c r="I41">
        <f>C41/D41</f>
        <v>0.2553191489361702</v>
      </c>
    </row>
    <row r="42" spans="1:9">
      <c r="A42" t="s">
        <v>54</v>
      </c>
      <c r="B42" t="s">
        <v>16</v>
      </c>
      <c r="C42">
        <v>4</v>
      </c>
      <c r="D42">
        <v>12</v>
      </c>
      <c r="E42">
        <f>C42*D42</f>
        <v>48.0</v>
      </c>
      <c r="F42" s="1">
        <v>45849</v>
      </c>
      <c r="G42" s="2">
        <v>45880.64583333334</v>
      </c>
      <c r="H42" t="b">
        <v>0</v>
      </c>
      <c r="I42">
        <f>C42/D42</f>
        <v>0.3333333333333333</v>
      </c>
    </row>
    <row r="43" spans="1:9">
      <c r="A43" t="s">
        <v>55</v>
      </c>
      <c r="B43" t="s">
        <v>18</v>
      </c>
      <c r="C43">
        <v>5</v>
      </c>
      <c r="D43">
        <v>12.25</v>
      </c>
      <c r="E43">
        <f>C43*D43</f>
        <v>61.25</v>
      </c>
      <c r="F43" s="1">
        <v>45850</v>
      </c>
      <c r="G43" s="2">
        <v>45881.6875</v>
      </c>
      <c r="H43" t="b">
        <v>1</v>
      </c>
      <c r="I43">
        <f>C43/D43</f>
        <v>0.40816326530612246</v>
      </c>
    </row>
    <row r="44" spans="1:9">
      <c r="A44" t="s">
        <v>56</v>
      </c>
      <c r="B44" t="s">
        <v>20</v>
      </c>
      <c r="C44">
        <v>6</v>
      </c>
      <c r="D44">
        <v>12.5</v>
      </c>
      <c r="E44">
        <f>C44*D44</f>
        <v>75.0</v>
      </c>
      <c r="F44" s="1">
        <v>45851</v>
      </c>
      <c r="H44" t="b">
        <v>0</v>
      </c>
      <c r="I44">
        <f>C44/D44</f>
        <v>0.48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t="s">
        <v>4</v>
      </c>
      <c r="B1" t="s">
        <v>57</v>
      </c>
      <c r="C1" t="s">
        <v>58</v>
      </c>
    </row>
    <row r="2" spans="1:3">
      <c r="A2" t="s">
        <v>17</v>
      </c>
      <c r="B2" t="s">
        <v>59</v>
      </c>
      <c r="C2">
        <v>4.5</v>
      </c>
    </row>
    <row r="3" spans="1:3">
      <c r="A3" t="s">
        <v>22</v>
      </c>
      <c r="B3" t="s">
        <v>60</v>
      </c>
      <c r="C3">
        <v>9</v>
      </c>
    </row>
    <row r="4" spans="1:3">
      <c r="A4" t="s">
        <v>25</v>
      </c>
      <c r="B4" t="s">
        <v>61</v>
      </c>
      <c r="C4">
        <v>13.5</v>
      </c>
    </row>
    <row r="5" spans="1:3">
      <c r="A5" t="s">
        <v>28</v>
      </c>
      <c r="B5" t="s">
        <v>59</v>
      </c>
      <c r="C5">
        <v>18</v>
      </c>
    </row>
    <row r="6" spans="1:3">
      <c r="A6" t="s">
        <v>31</v>
      </c>
      <c r="B6" t="s">
        <v>60</v>
      </c>
      <c r="C6">
        <v>22.5</v>
      </c>
    </row>
    <row r="7" spans="1:3">
      <c r="A7" t="s">
        <v>34</v>
      </c>
      <c r="B7" t="s">
        <v>61</v>
      </c>
      <c r="C7">
        <v>27</v>
      </c>
    </row>
    <row r="8" spans="1:3">
      <c r="A8" t="s">
        <v>37</v>
      </c>
      <c r="B8" t="s">
        <v>59</v>
      </c>
      <c r="C8">
        <v>31.5</v>
      </c>
    </row>
    <row r="9" spans="1:3">
      <c r="A9" t="s">
        <v>40</v>
      </c>
      <c r="B9" t="s">
        <v>60</v>
      </c>
      <c r="C9">
        <v>36</v>
      </c>
    </row>
    <row r="10" spans="1:3">
      <c r="A10" t="s">
        <v>43</v>
      </c>
      <c r="B10" t="s">
        <v>61</v>
      </c>
      <c r="C10">
        <v>40.5</v>
      </c>
    </row>
    <row r="11" spans="1:3">
      <c r="A11" t="s">
        <v>46</v>
      </c>
      <c r="B11" t="s">
        <v>59</v>
      </c>
      <c r="C11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62</v>
      </c>
      <c r="B1" t="s">
        <v>63</v>
      </c>
    </row>
    <row r="2" spans="1:2">
      <c r="A2" t="s">
        <v>64</v>
      </c>
      <c r="B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Orders</vt:lpstr>
      <vt:lpstr>Returns</vt:lpstr>
      <vt:lpstr>Lookup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2026-10-13T05:33:38Z</dcterms:created>
  <dcterms:modified xsi:type="dcterms:W3CDTF">2026-10-13T05:33:38Z</dcterms:modified>
</cp:coreProperties>
</file>